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178E58CC-90A3-42CD-97BD-D0D497076856}" xr6:coauthVersionLast="47" xr6:coauthVersionMax="47" xr10:uidLastSave="{00000000-0000-0000-0000-000000000000}"/>
  <bookViews>
    <workbookView xWindow="-98" yWindow="-98" windowWidth="21795" windowHeight="13875" xr2:uid="{37DDF8D0-D0C1-43C9-934D-D435D5DDB548}"/>
  </bookViews>
  <sheets>
    <sheet name="Hoja2" sheetId="2" r:id="rId1"/>
    <sheet name="LISTA DE COTEJO" sheetId="3" r:id="rId2"/>
    <sheet name="Hoja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4" l="1"/>
  <c r="E34" i="4"/>
  <c r="F34" i="4"/>
  <c r="G34" i="4"/>
  <c r="H34" i="4"/>
  <c r="I34" i="4"/>
  <c r="B32" i="3"/>
  <c r="C32" i="3"/>
  <c r="D32" i="3"/>
  <c r="E32" i="3"/>
  <c r="F3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</calcChain>
</file>

<file path=xl/sharedStrings.xml><?xml version="1.0" encoding="utf-8"?>
<sst xmlns="http://schemas.openxmlformats.org/spreadsheetml/2006/main" count="147" uniqueCount="47">
  <si>
    <t>Si</t>
  </si>
  <si>
    <t>No</t>
  </si>
  <si>
    <t>x</t>
  </si>
  <si>
    <t>X</t>
  </si>
  <si>
    <t>Alumnos</t>
  </si>
  <si>
    <t>Reconocer que algunos líquidos no se mezclan (agua y aceite)</t>
  </si>
  <si>
    <t>Registrar en el diario (qué hizo, qué pasó, qué descubrió)</t>
  </si>
  <si>
    <t>Identificar que el peso no es el único factor para que flote o se hunda un objeto</t>
  </si>
  <si>
    <t xml:space="preserve">Representar lo aprendido y lo observado  mediante el scrapbooking </t>
  </si>
  <si>
    <t>Suma</t>
  </si>
  <si>
    <t>Kiara</t>
  </si>
  <si>
    <t>Santiago</t>
  </si>
  <si>
    <t xml:space="preserve">Ruben </t>
  </si>
  <si>
    <t xml:space="preserve">Ruth </t>
  </si>
  <si>
    <t xml:space="preserve"> Antonella</t>
  </si>
  <si>
    <t xml:space="preserve">Litzy </t>
  </si>
  <si>
    <t xml:space="preserve">Kaleth </t>
  </si>
  <si>
    <t xml:space="preserve">Genesis </t>
  </si>
  <si>
    <t>Mateo</t>
  </si>
  <si>
    <t>Berenice</t>
  </si>
  <si>
    <t xml:space="preserve">Joselin </t>
  </si>
  <si>
    <t xml:space="preserve">Johana </t>
  </si>
  <si>
    <t xml:space="preserve">Cesar </t>
  </si>
  <si>
    <t xml:space="preserve">Allison </t>
  </si>
  <si>
    <t xml:space="preserve">Miguel </t>
  </si>
  <si>
    <t xml:space="preserve">Darien </t>
  </si>
  <si>
    <t>Israel</t>
  </si>
  <si>
    <t xml:space="preserve">Renata </t>
  </si>
  <si>
    <t xml:space="preserve">Ana </t>
  </si>
  <si>
    <t xml:space="preserve">Erick </t>
  </si>
  <si>
    <t xml:space="preserve">Katherine </t>
  </si>
  <si>
    <t xml:space="preserve"> Javier</t>
  </si>
  <si>
    <t xml:space="preserve">Yukari </t>
  </si>
  <si>
    <t xml:space="preserve">Mathias </t>
  </si>
  <si>
    <t xml:space="preserve">Antonio </t>
  </si>
  <si>
    <t xml:space="preserve">Logan </t>
  </si>
  <si>
    <t>Identificar características de los objetos (peso, material, te1tura)</t>
  </si>
  <si>
    <t xml:space="preserve">Ale1is </t>
  </si>
  <si>
    <t>Resultado</t>
  </si>
  <si>
    <t xml:space="preserve">Alumnos </t>
  </si>
  <si>
    <t>Reconocer que algunos líquidos son más pesados que otros</t>
  </si>
  <si>
    <t>Identificar que el aire o gas ocupa espacio (experimento de la pecera)</t>
  </si>
  <si>
    <t>Reconocer que la forma influye en que un objeto flote o se hunda (plastilina)</t>
  </si>
  <si>
    <t>Registrar en el diario lo realizado y lo observado</t>
  </si>
  <si>
    <t>Identificar que el aire y las burbujas pueden influir en el movimiento de los objetos (hacer que suban o bajen)</t>
  </si>
  <si>
    <t xml:space="preserve">Axel </t>
  </si>
  <si>
    <t xml:space="preserve">Alexis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</si>
</sst>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 vertical="top" textRotation="90" wrapText="1"/>
    </xf>
    <xf numFmtId="0" fontId="0" fillId="0" borderId="0" xfId="0" applyAlignment="1">
      <alignment horizontal="left" vertical="top" textRotation="90"/>
    </xf>
    <xf numFmtId="0" fontId="0" fillId="0" borderId="6" xfId="0" applyBorder="1" applyAlignment="1">
      <alignment horizontal="center"/>
    </xf>
    <xf numFmtId="0" fontId="2" fillId="6" borderId="6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Resultados</a:t>
            </a:r>
            <a:r>
              <a:rPr lang="es-MX" baseline="0"/>
              <a:t> de lista de cotejo</a:t>
            </a:r>
          </a:p>
          <a:p>
            <a:pPr>
              <a:defRPr/>
            </a:pPr>
            <a:r>
              <a:rPr lang="es-MX" baseline="0"/>
              <a:t>(Fase 1 y 2 )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Hoja2!$H$4:$H$31</c:f>
              <c:numCache>
                <c:formatCode>General</c:formatCode>
                <c:ptCount val="28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0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B-4824-AA64-D8DBFB173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4900624"/>
        <c:axId val="1674897744"/>
      </c:barChart>
      <c:catAx>
        <c:axId val="167490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4897744"/>
        <c:crosses val="autoZero"/>
        <c:auto val="1"/>
        <c:lblAlgn val="ctr"/>
        <c:lblOffset val="100"/>
        <c:noMultiLvlLbl val="0"/>
      </c:catAx>
      <c:valAx>
        <c:axId val="16748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Criterios</a:t>
                </a:r>
                <a:r>
                  <a:rPr lang="es-MX" baseline="0"/>
                  <a:t> 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490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Resultados de la lista de cotejo (Sesiones 1–4)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'LISTA DE COTEJO'!$G$1:$G$3</c:f>
              <c:strCache>
                <c:ptCount val="3"/>
                <c:pt idx="1">
                  <c:v>5</c:v>
                </c:pt>
                <c:pt idx="2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'LISTA DE COTEJO'!$A$4:$F$31</c15:sqref>
                  </c15:fullRef>
                  <c15:levelRef>
                    <c15:sqref>'LISTA DE COTEJO'!$A$4:$A$31</c15:sqref>
                  </c15:levelRef>
                </c:ext>
              </c:extLst>
              <c:f>'LISTA DE COTEJO'!$A$4:$A$31</c:f>
              <c:strCache>
                <c:ptCount val="28"/>
                <c:pt idx="0">
                  <c:v>Ana </c:v>
                </c:pt>
                <c:pt idx="1">
                  <c:v>Erick </c:v>
                </c:pt>
                <c:pt idx="2">
                  <c:v>Katherine </c:v>
                </c:pt>
                <c:pt idx="3">
                  <c:v> Javier</c:v>
                </c:pt>
                <c:pt idx="4">
                  <c:v>Yukari </c:v>
                </c:pt>
                <c:pt idx="5">
                  <c:v>Antonio </c:v>
                </c:pt>
                <c:pt idx="6">
                  <c:v>Mathias </c:v>
                </c:pt>
                <c:pt idx="7">
                  <c:v>Logan </c:v>
                </c:pt>
                <c:pt idx="8">
                  <c:v>Axel </c:v>
                </c:pt>
                <c:pt idx="9">
                  <c:v>Renata </c:v>
                </c:pt>
                <c:pt idx="10">
                  <c:v>Mateo</c:v>
                </c:pt>
                <c:pt idx="11">
                  <c:v>Berenice</c:v>
                </c:pt>
                <c:pt idx="12">
                  <c:v>Joselin </c:v>
                </c:pt>
                <c:pt idx="13">
                  <c:v>Johana </c:v>
                </c:pt>
                <c:pt idx="14">
                  <c:v>Cesar </c:v>
                </c:pt>
                <c:pt idx="15">
                  <c:v>Allison </c:v>
                </c:pt>
                <c:pt idx="16">
                  <c:v>Miguel </c:v>
                </c:pt>
                <c:pt idx="17">
                  <c:v>Darien </c:v>
                </c:pt>
                <c:pt idx="18">
                  <c:v>Israel</c:v>
                </c:pt>
                <c:pt idx="19">
                  <c:v>Genesis </c:v>
                </c:pt>
                <c:pt idx="20">
                  <c:v>Kaleth </c:v>
                </c:pt>
                <c:pt idx="21">
                  <c:v>Litzy </c:v>
                </c:pt>
                <c:pt idx="22">
                  <c:v>Ale1is </c:v>
                </c:pt>
                <c:pt idx="23">
                  <c:v> Antonella</c:v>
                </c:pt>
                <c:pt idx="24">
                  <c:v>Ruth </c:v>
                </c:pt>
                <c:pt idx="25">
                  <c:v>Ruben </c:v>
                </c:pt>
                <c:pt idx="26">
                  <c:v>Santiago</c:v>
                </c:pt>
                <c:pt idx="27">
                  <c:v>Kiara</c:v>
                </c:pt>
              </c:strCache>
            </c:strRef>
          </c:cat>
          <c:val>
            <c:numRef>
              <c:f>'LISTA DE COTEJO'!$G$4:$G$31</c:f>
              <c:numCache>
                <c:formatCode>General</c:formatCode>
                <c:ptCount val="28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5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7-4C2B-A1B7-9761F8F4A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534000"/>
        <c:axId val="1914538800"/>
      </c:barChart>
      <c:catAx>
        <c:axId val="191453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Alumnos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4538800"/>
        <c:crosses val="autoZero"/>
        <c:auto val="1"/>
        <c:lblAlgn val="ctr"/>
        <c:lblOffset val="100"/>
        <c:noMultiLvlLbl val="0"/>
      </c:catAx>
      <c:valAx>
        <c:axId val="19145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>
                    <a:effectLst/>
                  </a:rPr>
                  <a:t>Número de criterios</a:t>
                </a:r>
                <a:r>
                  <a:rPr lang="es-MX" baseline="0"/>
                  <a:t> 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453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Hoja4!$D$6:$D$33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A-41B0-9E3E-42A202775F5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Hoja4!$E$6:$E$33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A-41B0-9E3E-42A202775F5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Hoja4!$F$6:$F$33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FA-41B0-9E3E-42A202775F5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Hoja4!$G$6:$G$33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FA-41B0-9E3E-42A202775F5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Hoja4!$H$6:$H$33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FA-41B0-9E3E-42A202775F5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Hoja4!$I$6:$I$33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FA-41B0-9E3E-42A20277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1489152"/>
        <c:axId val="1621488672"/>
      </c:barChart>
      <c:catAx>
        <c:axId val="162148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Alumnos</a:t>
                </a:r>
                <a:r>
                  <a:rPr lang="es-MX" baseline="0"/>
                  <a:t> 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1488672"/>
        <c:crosses val="autoZero"/>
        <c:auto val="1"/>
        <c:lblAlgn val="ctr"/>
        <c:lblOffset val="100"/>
        <c:noMultiLvlLbl val="0"/>
      </c:catAx>
      <c:valAx>
        <c:axId val="1621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Criterios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148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/>
              <a:t>Número de alumnos que lograron cada criterio de evaluación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AD2-426C-A38B-E7858C5755C0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AD2-426C-A38B-E7858C5755C0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AD2-426C-A38B-E7858C5755C0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AD2-426C-A38B-E7858C5755C0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AD2-426C-A38B-E7858C5755C0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4AD2-426C-A38B-E7858C5755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Hoja4!$D$34:$I$34</c:f>
              <c:numCache>
                <c:formatCode>General</c:formatCode>
                <c:ptCount val="6"/>
                <c:pt idx="0">
                  <c:v>26</c:v>
                </c:pt>
                <c:pt idx="1">
                  <c:v>27</c:v>
                </c:pt>
                <c:pt idx="2">
                  <c:v>24</c:v>
                </c:pt>
                <c:pt idx="3">
                  <c:v>25</c:v>
                </c:pt>
                <c:pt idx="4">
                  <c:v>23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4-413C-9C99-67C13175C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473868</xdr:colOff>
      <xdr:row>5</xdr:row>
      <xdr:rowOff>138113</xdr:rowOff>
    </xdr:from>
    <xdr:to>
      <xdr:col>15</xdr:col>
      <xdr:colOff>473868</xdr:colOff>
      <xdr:row>20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AB8483-B587-BA4F-A20E-2AB38357D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409054</xdr:colOff>
      <xdr:row>2</xdr:row>
      <xdr:rowOff>2416304</xdr:rowOff>
    </xdr:from>
    <xdr:to>
      <xdr:col>18</xdr:col>
      <xdr:colOff>262421</xdr:colOff>
      <xdr:row>19</xdr:row>
      <xdr:rowOff>155510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53446A0-1BDA-8E4F-C7A1-FD5B8D318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211004</xdr:colOff>
      <xdr:row>12</xdr:row>
      <xdr:rowOff>37306</xdr:rowOff>
    </xdr:from>
    <xdr:to>
      <xdr:col>17</xdr:col>
      <xdr:colOff>218942</xdr:colOff>
      <xdr:row>27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183DC-DAA1-A11A-85B8-2D2DCD7D8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82335</xdr:colOff>
      <xdr:row>32</xdr:row>
      <xdr:rowOff>33033</xdr:rowOff>
    </xdr:from>
    <xdr:to>
      <xdr:col>16</xdr:col>
      <xdr:colOff>65017</xdr:colOff>
      <xdr:row>47</xdr:row>
      <xdr:rowOff>70266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77CE33-1561-750D-DE24-5B0ECAB4F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953A4-198E-455C-A4A5-76DA2CBF6350}" name="Tabla1" displayName="Tabla1" ref="A3:G32" totalsRowShown="0" headerRowDxfId="8" dataDxfId="7">
  <autoFilter ref="A3:G32" xr:uid="{F7E953A4-198E-455C-A4A5-76DA2CBF6350}"/>
  <tableColumns count="7">
    <tableColumn id="1" xr3:uid="{10B0021D-9D58-4CB4-A151-24F077819E2B}" name="Alumnos" dataDxfId="6"/>
    <tableColumn id="2" xr3:uid="{9898228E-7D6E-490A-B687-B77830027180}" name="Identificar características de los objetos (peso, material, te1tura)" dataDxfId="5"/>
    <tableColumn id="3" xr3:uid="{AFD29D25-68CC-4852-8E73-75090AB6776C}" name="Identificar que el peso no es el único factor para que flote o se hunda un objeto" dataDxfId="4"/>
    <tableColumn id="4" xr3:uid="{DF124A2F-0A43-4C55-9C20-463C2AAD3CA7}" name="Reconocer que algunos líquidos no se mezclan (agua y aceite)" dataDxfId="3"/>
    <tableColumn id="5" xr3:uid="{DC052E36-2AF9-4374-9A68-553936672CF1}" name="Representar lo aprendido y lo observado  mediante el scrapbooking " dataDxfId="2"/>
    <tableColumn id="6" xr3:uid="{934BC87E-A771-4D8D-B5A9-39CFE76DA327}" name="Registrar en el diario (qué hizo, qué pasó, qué descubrió)" dataDxfId="1"/>
    <tableColumn id="7" xr3:uid="{A9E778BB-738D-44BA-A3A9-43508F534BED}" name="Resul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53B1-BDD9-48C1-B4AB-C2F7BDCCF7A7}">
  <dimension ref="A2:H31"/>
  <sheetViews>
    <sheetView tabSelected="1" workbookViewId="0">
      <selection activeCell="A3" sqref="A3:A31"/>
    </sheetView>
  </sheetViews>
  <sheetFormatPr baseColWidth="10" defaultRowHeight="14.25" x14ac:dyDescent="0.45"/>
  <sheetData>
    <row r="2" spans="1:8" ht="14.65" thickBot="1" x14ac:dyDescent="0.5"/>
    <row r="3" spans="1:8" ht="14.65" thickBot="1" x14ac:dyDescent="0.5">
      <c r="A3" t="s">
        <v>4</v>
      </c>
      <c r="B3" s="3" t="s">
        <v>0</v>
      </c>
      <c r="C3" s="4" t="s">
        <v>1</v>
      </c>
      <c r="D3" s="5" t="s">
        <v>0</v>
      </c>
      <c r="E3" s="4" t="s">
        <v>1</v>
      </c>
      <c r="F3" s="5" t="s">
        <v>0</v>
      </c>
      <c r="G3" s="4" t="s">
        <v>1</v>
      </c>
      <c r="H3" s="8"/>
    </row>
    <row r="4" spans="1:8" ht="14.65" thickBot="1" x14ac:dyDescent="0.5">
      <c r="A4">
        <v>1</v>
      </c>
      <c r="B4" s="6" t="s">
        <v>2</v>
      </c>
      <c r="C4" s="2"/>
      <c r="D4" s="1" t="s">
        <v>2</v>
      </c>
      <c r="E4" s="2"/>
      <c r="F4" s="1" t="s">
        <v>3</v>
      </c>
      <c r="G4" s="2"/>
      <c r="H4" s="8">
        <f t="shared" ref="H4:H31" si="0">COUNTA(B4:G4)</f>
        <v>3</v>
      </c>
    </row>
    <row r="5" spans="1:8" ht="14.65" thickBot="1" x14ac:dyDescent="0.5">
      <c r="A5">
        <v>2</v>
      </c>
      <c r="B5" s="6" t="s">
        <v>3</v>
      </c>
      <c r="C5" s="2"/>
      <c r="D5" s="1" t="s">
        <v>2</v>
      </c>
      <c r="E5" s="2"/>
      <c r="F5" s="1" t="s">
        <v>2</v>
      </c>
      <c r="G5" s="2"/>
      <c r="H5" s="8">
        <f t="shared" si="0"/>
        <v>3</v>
      </c>
    </row>
    <row r="6" spans="1:8" ht="14.65" thickBot="1" x14ac:dyDescent="0.5">
      <c r="A6">
        <v>3</v>
      </c>
      <c r="B6" s="6" t="s">
        <v>2</v>
      </c>
      <c r="C6" s="2"/>
      <c r="D6" s="2"/>
      <c r="E6" s="1"/>
      <c r="F6" s="2"/>
      <c r="G6" s="1"/>
      <c r="H6" s="8">
        <f t="shared" si="0"/>
        <v>1</v>
      </c>
    </row>
    <row r="7" spans="1:8" ht="14.65" thickBot="1" x14ac:dyDescent="0.5">
      <c r="A7">
        <v>4</v>
      </c>
      <c r="B7" s="6" t="s">
        <v>2</v>
      </c>
      <c r="C7" s="2"/>
      <c r="D7" s="1" t="s">
        <v>2</v>
      </c>
      <c r="E7" s="2"/>
      <c r="F7" s="1" t="s">
        <v>3</v>
      </c>
      <c r="G7" s="2"/>
      <c r="H7" s="8">
        <f t="shared" si="0"/>
        <v>3</v>
      </c>
    </row>
    <row r="8" spans="1:8" ht="14.65" thickBot="1" x14ac:dyDescent="0.5">
      <c r="A8">
        <v>5</v>
      </c>
      <c r="B8" s="6" t="s">
        <v>3</v>
      </c>
      <c r="C8" s="2"/>
      <c r="D8" s="1" t="s">
        <v>2</v>
      </c>
      <c r="E8" s="2"/>
      <c r="F8" s="1" t="s">
        <v>2</v>
      </c>
      <c r="G8" s="2"/>
      <c r="H8" s="8">
        <f t="shared" si="0"/>
        <v>3</v>
      </c>
    </row>
    <row r="9" spans="1:8" ht="14.65" thickBot="1" x14ac:dyDescent="0.5">
      <c r="A9">
        <v>6</v>
      </c>
      <c r="B9" s="6" t="s">
        <v>2</v>
      </c>
      <c r="C9" s="2"/>
      <c r="D9" s="1" t="s">
        <v>2</v>
      </c>
      <c r="E9" s="2"/>
      <c r="F9" s="2"/>
      <c r="G9" s="1"/>
      <c r="H9" s="8">
        <f t="shared" si="0"/>
        <v>2</v>
      </c>
    </row>
    <row r="10" spans="1:8" ht="14.65" thickBot="1" x14ac:dyDescent="0.5">
      <c r="A10">
        <v>7</v>
      </c>
      <c r="B10" s="6" t="s">
        <v>2</v>
      </c>
      <c r="C10" s="2"/>
      <c r="D10" s="1" t="s">
        <v>2</v>
      </c>
      <c r="E10" s="2"/>
      <c r="F10" s="2"/>
      <c r="G10" s="1"/>
      <c r="H10" s="8">
        <f t="shared" si="0"/>
        <v>2</v>
      </c>
    </row>
    <row r="11" spans="1:8" ht="14.65" thickBot="1" x14ac:dyDescent="0.5">
      <c r="A11">
        <v>8</v>
      </c>
      <c r="B11" s="7"/>
      <c r="C11" s="1"/>
      <c r="D11" s="2"/>
      <c r="E11" s="1"/>
      <c r="F11" s="2"/>
      <c r="G11" s="1"/>
      <c r="H11" s="8">
        <f t="shared" si="0"/>
        <v>0</v>
      </c>
    </row>
    <row r="12" spans="1:8" ht="14.65" thickBot="1" x14ac:dyDescent="0.5">
      <c r="A12">
        <v>9</v>
      </c>
      <c r="B12" s="6" t="s">
        <v>2</v>
      </c>
      <c r="C12" s="2"/>
      <c r="D12" s="1" t="s">
        <v>2</v>
      </c>
      <c r="E12" s="2"/>
      <c r="F12" s="1" t="s">
        <v>3</v>
      </c>
      <c r="G12" s="2"/>
      <c r="H12" s="8">
        <f t="shared" si="0"/>
        <v>3</v>
      </c>
    </row>
    <row r="13" spans="1:8" ht="14.65" thickBot="1" x14ac:dyDescent="0.5">
      <c r="A13">
        <v>10</v>
      </c>
      <c r="B13" s="6" t="s">
        <v>2</v>
      </c>
      <c r="C13" s="2"/>
      <c r="D13" s="1" t="s">
        <v>2</v>
      </c>
      <c r="E13" s="2"/>
      <c r="F13" s="1" t="s">
        <v>3</v>
      </c>
      <c r="G13" s="2"/>
      <c r="H13" s="8">
        <f t="shared" si="0"/>
        <v>3</v>
      </c>
    </row>
    <row r="14" spans="1:8" ht="14.65" thickBot="1" x14ac:dyDescent="0.5">
      <c r="A14">
        <v>11</v>
      </c>
      <c r="B14" s="6" t="s">
        <v>2</v>
      </c>
      <c r="C14" s="2"/>
      <c r="D14" s="1" t="s">
        <v>2</v>
      </c>
      <c r="E14" s="2"/>
      <c r="F14" s="2"/>
      <c r="G14" s="1"/>
      <c r="H14" s="8">
        <f t="shared" si="0"/>
        <v>2</v>
      </c>
    </row>
    <row r="15" spans="1:8" ht="14.65" thickBot="1" x14ac:dyDescent="0.5">
      <c r="A15">
        <v>12</v>
      </c>
      <c r="B15" s="6" t="s">
        <v>2</v>
      </c>
      <c r="C15" s="2"/>
      <c r="D15" s="1" t="s">
        <v>2</v>
      </c>
      <c r="E15" s="2"/>
      <c r="F15" s="1" t="s">
        <v>3</v>
      </c>
      <c r="G15" s="2"/>
      <c r="H15" s="8">
        <f t="shared" si="0"/>
        <v>3</v>
      </c>
    </row>
    <row r="16" spans="1:8" ht="14.65" thickBot="1" x14ac:dyDescent="0.5">
      <c r="A16">
        <v>13</v>
      </c>
      <c r="B16" s="6" t="s">
        <v>2</v>
      </c>
      <c r="C16" s="2"/>
      <c r="D16" s="1" t="s">
        <v>2</v>
      </c>
      <c r="E16" s="2"/>
      <c r="F16" s="1" t="s">
        <v>3</v>
      </c>
      <c r="G16" s="2"/>
      <c r="H16" s="8">
        <f t="shared" si="0"/>
        <v>3</v>
      </c>
    </row>
    <row r="17" spans="1:8" ht="14.65" thickBot="1" x14ac:dyDescent="0.5">
      <c r="A17">
        <v>14</v>
      </c>
      <c r="B17" s="6" t="s">
        <v>2</v>
      </c>
      <c r="C17" s="2"/>
      <c r="D17" s="1" t="s">
        <v>2</v>
      </c>
      <c r="E17" s="2"/>
      <c r="F17" s="2"/>
      <c r="G17" s="1"/>
      <c r="H17" s="8">
        <f t="shared" si="0"/>
        <v>2</v>
      </c>
    </row>
    <row r="18" spans="1:8" ht="14.65" thickBot="1" x14ac:dyDescent="0.5">
      <c r="A18">
        <v>15</v>
      </c>
      <c r="B18" s="6" t="s">
        <v>2</v>
      </c>
      <c r="C18" s="2"/>
      <c r="D18" s="1" t="s">
        <v>2</v>
      </c>
      <c r="E18" s="2"/>
      <c r="F18" s="1" t="s">
        <v>2</v>
      </c>
      <c r="G18" s="2"/>
      <c r="H18" s="8">
        <f t="shared" si="0"/>
        <v>3</v>
      </c>
    </row>
    <row r="19" spans="1:8" ht="14.65" thickBot="1" x14ac:dyDescent="0.5">
      <c r="A19">
        <v>16</v>
      </c>
      <c r="B19" s="7"/>
      <c r="C19" s="1"/>
      <c r="D19" s="2"/>
      <c r="E19" s="1"/>
      <c r="F19" s="2"/>
      <c r="G19" s="1"/>
      <c r="H19" s="8">
        <f t="shared" si="0"/>
        <v>0</v>
      </c>
    </row>
    <row r="20" spans="1:8" ht="14.65" thickBot="1" x14ac:dyDescent="0.5">
      <c r="A20">
        <v>17</v>
      </c>
      <c r="B20" s="6" t="s">
        <v>2</v>
      </c>
      <c r="C20" s="2"/>
      <c r="D20" s="1" t="s">
        <v>2</v>
      </c>
      <c r="E20" s="2"/>
      <c r="F20" s="1" t="s">
        <v>3</v>
      </c>
      <c r="G20" s="2"/>
      <c r="H20" s="8">
        <f t="shared" si="0"/>
        <v>3</v>
      </c>
    </row>
    <row r="21" spans="1:8" ht="14.65" thickBot="1" x14ac:dyDescent="0.5">
      <c r="A21">
        <v>18</v>
      </c>
      <c r="B21" s="6" t="s">
        <v>2</v>
      </c>
      <c r="C21" s="2"/>
      <c r="D21" s="2"/>
      <c r="E21" s="1"/>
      <c r="F21" s="2"/>
      <c r="G21" s="1"/>
      <c r="H21" s="8">
        <f t="shared" si="0"/>
        <v>1</v>
      </c>
    </row>
    <row r="22" spans="1:8" ht="14.65" thickBot="1" x14ac:dyDescent="0.5">
      <c r="A22">
        <v>19</v>
      </c>
      <c r="B22" s="6" t="s">
        <v>3</v>
      </c>
      <c r="C22" s="2"/>
      <c r="D22" s="1" t="s">
        <v>2</v>
      </c>
      <c r="E22" s="2"/>
      <c r="F22" s="1" t="s">
        <v>3</v>
      </c>
      <c r="G22" s="2"/>
      <c r="H22" s="8">
        <f t="shared" si="0"/>
        <v>3</v>
      </c>
    </row>
    <row r="23" spans="1:8" ht="14.65" thickBot="1" x14ac:dyDescent="0.5">
      <c r="A23">
        <v>20</v>
      </c>
      <c r="B23" s="6" t="s">
        <v>2</v>
      </c>
      <c r="C23" s="2"/>
      <c r="D23" s="1" t="s">
        <v>2</v>
      </c>
      <c r="E23" s="2"/>
      <c r="F23" s="1" t="s">
        <v>3</v>
      </c>
      <c r="G23" s="2"/>
      <c r="H23" s="8">
        <f t="shared" si="0"/>
        <v>3</v>
      </c>
    </row>
    <row r="24" spans="1:8" ht="14.65" thickBot="1" x14ac:dyDescent="0.5">
      <c r="A24">
        <v>21</v>
      </c>
      <c r="B24" s="6" t="s">
        <v>3</v>
      </c>
      <c r="C24" s="2"/>
      <c r="D24" s="1" t="s">
        <v>3</v>
      </c>
      <c r="E24" s="2"/>
      <c r="F24" s="1" t="s">
        <v>3</v>
      </c>
      <c r="G24" s="2"/>
      <c r="H24" s="8">
        <f t="shared" si="0"/>
        <v>3</v>
      </c>
    </row>
    <row r="25" spans="1:8" ht="14.65" thickBot="1" x14ac:dyDescent="0.5">
      <c r="A25">
        <v>22</v>
      </c>
      <c r="B25" s="6" t="s">
        <v>2</v>
      </c>
      <c r="C25" s="2"/>
      <c r="D25" s="1" t="s">
        <v>3</v>
      </c>
      <c r="E25" s="2"/>
      <c r="F25" s="1" t="s">
        <v>3</v>
      </c>
      <c r="G25" s="2"/>
      <c r="H25" s="8">
        <f t="shared" si="0"/>
        <v>3</v>
      </c>
    </row>
    <row r="26" spans="1:8" ht="14.65" thickBot="1" x14ac:dyDescent="0.5">
      <c r="A26">
        <v>23</v>
      </c>
      <c r="B26" s="6" t="s">
        <v>2</v>
      </c>
      <c r="C26" s="2"/>
      <c r="D26" s="1" t="s">
        <v>2</v>
      </c>
      <c r="E26" s="2"/>
      <c r="F26" s="1" t="s">
        <v>3</v>
      </c>
      <c r="G26" s="2"/>
      <c r="H26" s="8">
        <f t="shared" si="0"/>
        <v>3</v>
      </c>
    </row>
    <row r="27" spans="1:8" ht="14.65" thickBot="1" x14ac:dyDescent="0.5">
      <c r="A27">
        <v>24</v>
      </c>
      <c r="B27" s="6" t="s">
        <v>2</v>
      </c>
      <c r="C27" s="2"/>
      <c r="D27" s="1" t="s">
        <v>2</v>
      </c>
      <c r="E27" s="2"/>
      <c r="F27" s="1" t="s">
        <v>3</v>
      </c>
      <c r="G27" s="2"/>
      <c r="H27" s="8">
        <f t="shared" si="0"/>
        <v>3</v>
      </c>
    </row>
    <row r="28" spans="1:8" ht="14.65" thickBot="1" x14ac:dyDescent="0.5">
      <c r="A28">
        <v>25</v>
      </c>
      <c r="B28" s="6" t="s">
        <v>2</v>
      </c>
      <c r="C28" s="2"/>
      <c r="D28" s="1" t="s">
        <v>2</v>
      </c>
      <c r="E28" s="2"/>
      <c r="F28" s="1" t="s">
        <v>3</v>
      </c>
      <c r="G28" s="2"/>
      <c r="H28" s="8">
        <f t="shared" si="0"/>
        <v>3</v>
      </c>
    </row>
    <row r="29" spans="1:8" ht="14.65" thickBot="1" x14ac:dyDescent="0.5">
      <c r="A29">
        <v>26</v>
      </c>
      <c r="B29" s="6" t="s">
        <v>2</v>
      </c>
      <c r="C29" s="2"/>
      <c r="D29" s="1" t="s">
        <v>3</v>
      </c>
      <c r="E29" s="2"/>
      <c r="F29" s="1" t="s">
        <v>3</v>
      </c>
      <c r="G29" s="2"/>
      <c r="H29" s="8">
        <f t="shared" si="0"/>
        <v>3</v>
      </c>
    </row>
    <row r="30" spans="1:8" ht="14.65" thickBot="1" x14ac:dyDescent="0.5">
      <c r="A30">
        <v>27</v>
      </c>
      <c r="B30" s="6" t="s">
        <v>3</v>
      </c>
      <c r="C30" s="2"/>
      <c r="D30" s="1" t="s">
        <v>2</v>
      </c>
      <c r="E30" s="2"/>
      <c r="F30" s="1" t="s">
        <v>3</v>
      </c>
      <c r="G30" s="2"/>
      <c r="H30" s="8">
        <f t="shared" si="0"/>
        <v>3</v>
      </c>
    </row>
    <row r="31" spans="1:8" ht="14.65" thickBot="1" x14ac:dyDescent="0.5">
      <c r="A31">
        <v>28</v>
      </c>
      <c r="B31" s="6" t="s">
        <v>2</v>
      </c>
      <c r="C31" s="2"/>
      <c r="D31" s="2"/>
      <c r="E31" s="1"/>
      <c r="F31" s="2"/>
      <c r="G31" s="1"/>
      <c r="H31" s="8">
        <f t="shared" si="0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3406-6EAF-4577-9631-CBE2C5CDD3AD}">
  <dimension ref="A2:G32"/>
  <sheetViews>
    <sheetView topLeftCell="A3" zoomScale="65" zoomScaleNormal="60" workbookViewId="0">
      <selection activeCell="A12" sqref="A12"/>
    </sheetView>
  </sheetViews>
  <sheetFormatPr baseColWidth="10" defaultRowHeight="14.25" x14ac:dyDescent="0.45"/>
  <cols>
    <col min="1" max="1" width="12.6640625" customWidth="1"/>
    <col min="2" max="2" width="10.6640625" customWidth="1"/>
  </cols>
  <sheetData>
    <row r="2" spans="1:7" x14ac:dyDescent="0.45">
      <c r="B2">
        <v>1</v>
      </c>
      <c r="C2">
        <v>2</v>
      </c>
      <c r="D2">
        <v>3</v>
      </c>
      <c r="E2">
        <v>4</v>
      </c>
      <c r="F2">
        <v>5</v>
      </c>
    </row>
    <row r="3" spans="1:7" ht="249.85" customHeight="1" x14ac:dyDescent="0.45">
      <c r="A3" s="12" t="s">
        <v>4</v>
      </c>
      <c r="B3" s="11" t="s">
        <v>36</v>
      </c>
      <c r="C3" s="11" t="s">
        <v>7</v>
      </c>
      <c r="D3" s="11" t="s">
        <v>5</v>
      </c>
      <c r="E3" s="11" t="s">
        <v>8</v>
      </c>
      <c r="F3" s="11" t="s">
        <v>6</v>
      </c>
      <c r="G3" s="11" t="s">
        <v>38</v>
      </c>
    </row>
    <row r="4" spans="1:7" ht="14.25" customHeight="1" x14ac:dyDescent="0.45">
      <c r="A4" s="9" t="s">
        <v>28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10">
        <f t="shared" ref="G4:G31" si="0">COUNTA(B4:F4)</f>
        <v>5</v>
      </c>
    </row>
    <row r="5" spans="1:7" x14ac:dyDescent="0.45">
      <c r="A5" s="9" t="s">
        <v>29</v>
      </c>
      <c r="B5" s="9">
        <v>1</v>
      </c>
      <c r="C5" s="9">
        <v>1</v>
      </c>
      <c r="D5" s="9">
        <v>1</v>
      </c>
      <c r="E5" s="9"/>
      <c r="F5" s="9">
        <v>1</v>
      </c>
      <c r="G5" s="10">
        <f t="shared" si="0"/>
        <v>4</v>
      </c>
    </row>
    <row r="6" spans="1:7" ht="14.25" customHeight="1" x14ac:dyDescent="0.45">
      <c r="A6" s="9" t="s">
        <v>30</v>
      </c>
      <c r="B6" s="9">
        <v>1</v>
      </c>
      <c r="C6" s="9"/>
      <c r="D6" s="9">
        <v>1</v>
      </c>
      <c r="E6" s="9"/>
      <c r="F6" s="9"/>
      <c r="G6" s="10">
        <f t="shared" si="0"/>
        <v>2</v>
      </c>
    </row>
    <row r="7" spans="1:7" x14ac:dyDescent="0.45">
      <c r="A7" s="9" t="s">
        <v>31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10">
        <f t="shared" si="0"/>
        <v>5</v>
      </c>
    </row>
    <row r="8" spans="1:7" ht="14.25" customHeight="1" x14ac:dyDescent="0.45">
      <c r="A8" s="9" t="s">
        <v>32</v>
      </c>
      <c r="B8" s="9">
        <v>1</v>
      </c>
      <c r="C8" s="9">
        <v>1</v>
      </c>
      <c r="D8" s="9">
        <v>1</v>
      </c>
      <c r="E8" s="9">
        <v>1</v>
      </c>
      <c r="F8" s="9">
        <v>1</v>
      </c>
      <c r="G8" s="10">
        <f t="shared" si="0"/>
        <v>5</v>
      </c>
    </row>
    <row r="9" spans="1:7" ht="14.25" customHeight="1" x14ac:dyDescent="0.45">
      <c r="A9" s="9" t="s">
        <v>34</v>
      </c>
      <c r="B9" s="9">
        <v>1</v>
      </c>
      <c r="C9" s="9">
        <v>1</v>
      </c>
      <c r="D9" s="9">
        <v>1</v>
      </c>
      <c r="E9" s="9">
        <v>1</v>
      </c>
      <c r="F9" s="9"/>
      <c r="G9" s="10">
        <f t="shared" si="0"/>
        <v>4</v>
      </c>
    </row>
    <row r="10" spans="1:7" x14ac:dyDescent="0.45">
      <c r="A10" s="9" t="s">
        <v>33</v>
      </c>
      <c r="B10" s="9">
        <v>1</v>
      </c>
      <c r="C10" s="9">
        <v>1</v>
      </c>
      <c r="D10" s="9">
        <v>1</v>
      </c>
      <c r="E10" s="9">
        <v>1</v>
      </c>
      <c r="F10" s="9"/>
      <c r="G10" s="10">
        <f t="shared" si="0"/>
        <v>4</v>
      </c>
    </row>
    <row r="11" spans="1:7" ht="14.65" customHeight="1" x14ac:dyDescent="0.45">
      <c r="A11" s="9" t="s">
        <v>35</v>
      </c>
      <c r="B11" s="9"/>
      <c r="C11" s="9"/>
      <c r="D11" s="9"/>
      <c r="E11" s="9"/>
      <c r="F11" s="9"/>
      <c r="G11" s="10">
        <f t="shared" si="0"/>
        <v>0</v>
      </c>
    </row>
    <row r="12" spans="1:7" ht="14.25" customHeight="1" x14ac:dyDescent="0.45">
      <c r="A12" s="9" t="s">
        <v>45</v>
      </c>
      <c r="B12" s="9">
        <v>1</v>
      </c>
      <c r="C12" s="9">
        <v>1</v>
      </c>
      <c r="D12" s="9">
        <v>1</v>
      </c>
      <c r="E12" s="9">
        <v>1</v>
      </c>
      <c r="F12" s="9">
        <v>1</v>
      </c>
      <c r="G12" s="10">
        <f t="shared" si="0"/>
        <v>5</v>
      </c>
    </row>
    <row r="13" spans="1:7" ht="14.25" customHeight="1" x14ac:dyDescent="0.45">
      <c r="A13" s="9" t="s">
        <v>27</v>
      </c>
      <c r="B13" s="9">
        <v>1</v>
      </c>
      <c r="C13" s="9">
        <v>1</v>
      </c>
      <c r="D13" s="9">
        <v>1</v>
      </c>
      <c r="E13" s="9">
        <v>1</v>
      </c>
      <c r="F13" s="9">
        <v>1</v>
      </c>
      <c r="G13" s="10">
        <f t="shared" si="0"/>
        <v>5</v>
      </c>
    </row>
    <row r="14" spans="1:7" ht="14.25" customHeight="1" x14ac:dyDescent="0.45">
      <c r="A14" s="9" t="s">
        <v>18</v>
      </c>
      <c r="B14" s="9">
        <v>1</v>
      </c>
      <c r="C14" s="9">
        <v>1</v>
      </c>
      <c r="D14" s="9">
        <v>1</v>
      </c>
      <c r="E14" s="9">
        <v>1</v>
      </c>
      <c r="F14" s="9"/>
      <c r="G14" s="10">
        <f t="shared" si="0"/>
        <v>4</v>
      </c>
    </row>
    <row r="15" spans="1:7" ht="14.25" customHeight="1" x14ac:dyDescent="0.45">
      <c r="A15" s="9" t="s">
        <v>19</v>
      </c>
      <c r="B15" s="9">
        <v>1</v>
      </c>
      <c r="C15" s="9">
        <v>1</v>
      </c>
      <c r="D15" s="9">
        <v>1</v>
      </c>
      <c r="E15" s="9">
        <v>1</v>
      </c>
      <c r="F15" s="9">
        <v>1</v>
      </c>
      <c r="G15" s="10">
        <f t="shared" si="0"/>
        <v>5</v>
      </c>
    </row>
    <row r="16" spans="1:7" ht="14.25" customHeight="1" x14ac:dyDescent="0.45">
      <c r="A16" s="9" t="s">
        <v>20</v>
      </c>
      <c r="B16" s="9">
        <v>1</v>
      </c>
      <c r="C16" s="9">
        <v>1</v>
      </c>
      <c r="D16" s="9">
        <v>1</v>
      </c>
      <c r="E16" s="9">
        <v>1</v>
      </c>
      <c r="F16" s="9">
        <v>1</v>
      </c>
      <c r="G16" s="10">
        <f t="shared" si="0"/>
        <v>5</v>
      </c>
    </row>
    <row r="17" spans="1:7" ht="14.25" customHeight="1" x14ac:dyDescent="0.45">
      <c r="A17" s="9" t="s">
        <v>21</v>
      </c>
      <c r="B17" s="9">
        <v>1</v>
      </c>
      <c r="C17" s="9">
        <v>1</v>
      </c>
      <c r="D17" s="9">
        <v>1</v>
      </c>
      <c r="E17" s="9">
        <v>1</v>
      </c>
      <c r="F17" s="9"/>
      <c r="G17" s="10">
        <f t="shared" si="0"/>
        <v>4</v>
      </c>
    </row>
    <row r="18" spans="1:7" ht="14.25" customHeight="1" x14ac:dyDescent="0.45">
      <c r="A18" s="9" t="s">
        <v>22</v>
      </c>
      <c r="B18" s="9">
        <v>1</v>
      </c>
      <c r="C18" s="9">
        <v>1</v>
      </c>
      <c r="D18" s="9">
        <v>1</v>
      </c>
      <c r="E18" s="9"/>
      <c r="F18" s="9">
        <v>1</v>
      </c>
      <c r="G18" s="10">
        <f t="shared" si="0"/>
        <v>4</v>
      </c>
    </row>
    <row r="19" spans="1:7" ht="14.25" customHeight="1" x14ac:dyDescent="0.45">
      <c r="A19" s="9" t="s">
        <v>23</v>
      </c>
      <c r="B19" s="9"/>
      <c r="C19" s="9"/>
      <c r="D19" s="9"/>
      <c r="E19" s="9"/>
      <c r="F19" s="9"/>
      <c r="G19" s="10">
        <f t="shared" si="0"/>
        <v>0</v>
      </c>
    </row>
    <row r="20" spans="1:7" ht="14.25" customHeight="1" x14ac:dyDescent="0.45">
      <c r="A20" s="9" t="s">
        <v>24</v>
      </c>
      <c r="B20" s="9">
        <v>1</v>
      </c>
      <c r="C20" s="9">
        <v>1</v>
      </c>
      <c r="D20" s="9">
        <v>1</v>
      </c>
      <c r="E20" s="9">
        <v>1</v>
      </c>
      <c r="F20" s="9">
        <v>1</v>
      </c>
      <c r="G20" s="10">
        <f t="shared" si="0"/>
        <v>5</v>
      </c>
    </row>
    <row r="21" spans="1:7" ht="14.25" customHeight="1" x14ac:dyDescent="0.45">
      <c r="A21" s="9" t="s">
        <v>25</v>
      </c>
      <c r="B21" s="9">
        <v>1</v>
      </c>
      <c r="C21" s="9"/>
      <c r="D21" s="9">
        <v>1</v>
      </c>
      <c r="E21" s="9"/>
      <c r="F21" s="9"/>
      <c r="G21" s="10">
        <f t="shared" si="0"/>
        <v>2</v>
      </c>
    </row>
    <row r="22" spans="1:7" ht="14.25" customHeight="1" x14ac:dyDescent="0.45">
      <c r="A22" s="9" t="s">
        <v>26</v>
      </c>
      <c r="B22" s="9">
        <v>1</v>
      </c>
      <c r="C22" s="9">
        <v>1</v>
      </c>
      <c r="D22" s="9">
        <v>1</v>
      </c>
      <c r="E22" s="9"/>
      <c r="F22" s="9">
        <v>1</v>
      </c>
      <c r="G22" s="10">
        <f t="shared" si="0"/>
        <v>4</v>
      </c>
    </row>
    <row r="23" spans="1:7" ht="14.25" customHeight="1" x14ac:dyDescent="0.45">
      <c r="A23" s="9" t="s">
        <v>17</v>
      </c>
      <c r="B23" s="9">
        <v>1</v>
      </c>
      <c r="C23" s="9">
        <v>1</v>
      </c>
      <c r="D23" s="9">
        <v>1</v>
      </c>
      <c r="E23" s="9">
        <v>1</v>
      </c>
      <c r="F23" s="9">
        <v>1</v>
      </c>
      <c r="G23" s="10">
        <f t="shared" si="0"/>
        <v>5</v>
      </c>
    </row>
    <row r="24" spans="1:7" ht="14.25" customHeight="1" x14ac:dyDescent="0.45">
      <c r="A24" s="9" t="s">
        <v>16</v>
      </c>
      <c r="B24" s="9">
        <v>1</v>
      </c>
      <c r="C24" s="9">
        <v>1</v>
      </c>
      <c r="D24" s="9">
        <v>1</v>
      </c>
      <c r="E24" s="9">
        <v>1</v>
      </c>
      <c r="F24" s="9">
        <v>1</v>
      </c>
      <c r="G24" s="10">
        <f t="shared" si="0"/>
        <v>5</v>
      </c>
    </row>
    <row r="25" spans="1:7" ht="14.25" customHeight="1" x14ac:dyDescent="0.45">
      <c r="A25" s="9" t="s">
        <v>15</v>
      </c>
      <c r="B25" s="9">
        <v>1</v>
      </c>
      <c r="C25" s="9">
        <v>1</v>
      </c>
      <c r="D25" s="9">
        <v>1</v>
      </c>
      <c r="E25" s="9">
        <v>1</v>
      </c>
      <c r="F25" s="9">
        <v>1</v>
      </c>
      <c r="G25" s="10">
        <f t="shared" si="0"/>
        <v>5</v>
      </c>
    </row>
    <row r="26" spans="1:7" ht="14.25" customHeight="1" x14ac:dyDescent="0.45">
      <c r="A26" s="9" t="s">
        <v>37</v>
      </c>
      <c r="B26" s="9">
        <v>1</v>
      </c>
      <c r="C26" s="9">
        <v>1</v>
      </c>
      <c r="D26" s="9">
        <v>1</v>
      </c>
      <c r="E26" s="9">
        <v>1</v>
      </c>
      <c r="F26" s="9">
        <v>1</v>
      </c>
      <c r="G26" s="10">
        <f t="shared" si="0"/>
        <v>5</v>
      </c>
    </row>
    <row r="27" spans="1:7" ht="14.25" customHeight="1" x14ac:dyDescent="0.45">
      <c r="A27" s="9" t="s">
        <v>14</v>
      </c>
      <c r="B27" s="9">
        <v>1</v>
      </c>
      <c r="C27" s="9">
        <v>1</v>
      </c>
      <c r="D27" s="9">
        <v>1</v>
      </c>
      <c r="E27" s="9"/>
      <c r="F27" s="9">
        <v>1</v>
      </c>
      <c r="G27" s="10">
        <f t="shared" si="0"/>
        <v>4</v>
      </c>
    </row>
    <row r="28" spans="1:7" ht="14.25" customHeight="1" x14ac:dyDescent="0.45">
      <c r="A28" s="9" t="s">
        <v>13</v>
      </c>
      <c r="B28" s="9">
        <v>1</v>
      </c>
      <c r="C28" s="9">
        <v>1</v>
      </c>
      <c r="D28" s="9">
        <v>1</v>
      </c>
      <c r="E28" s="9">
        <v>1</v>
      </c>
      <c r="F28" s="9">
        <v>1</v>
      </c>
      <c r="G28" s="10">
        <f t="shared" si="0"/>
        <v>5</v>
      </c>
    </row>
    <row r="29" spans="1:7" ht="14.25" customHeight="1" x14ac:dyDescent="0.45">
      <c r="A29" s="9" t="s">
        <v>12</v>
      </c>
      <c r="B29" s="9">
        <v>1</v>
      </c>
      <c r="C29" s="9">
        <v>1</v>
      </c>
      <c r="D29" s="9">
        <v>1</v>
      </c>
      <c r="E29" s="9">
        <v>1</v>
      </c>
      <c r="F29" s="9">
        <v>1</v>
      </c>
      <c r="G29" s="10">
        <f t="shared" si="0"/>
        <v>5</v>
      </c>
    </row>
    <row r="30" spans="1:7" ht="14.25" customHeight="1" x14ac:dyDescent="0.45">
      <c r="A30" s="9" t="s">
        <v>11</v>
      </c>
      <c r="B30" s="9">
        <v>1</v>
      </c>
      <c r="C30" s="9">
        <v>1</v>
      </c>
      <c r="D30" s="9">
        <v>1</v>
      </c>
      <c r="E30" s="9">
        <v>1</v>
      </c>
      <c r="F30" s="9">
        <v>1</v>
      </c>
      <c r="G30" s="10">
        <f t="shared" si="0"/>
        <v>5</v>
      </c>
    </row>
    <row r="31" spans="1:7" ht="14.25" customHeight="1" x14ac:dyDescent="0.45">
      <c r="A31" s="9" t="s">
        <v>10</v>
      </c>
      <c r="B31" s="9">
        <v>1</v>
      </c>
      <c r="C31" s="9"/>
      <c r="D31" s="9">
        <v>1</v>
      </c>
      <c r="E31" s="9"/>
      <c r="F31" s="9"/>
      <c r="G31" s="10">
        <f t="shared" si="0"/>
        <v>2</v>
      </c>
    </row>
    <row r="32" spans="1:7" x14ac:dyDescent="0.45">
      <c r="A32" s="13" t="s">
        <v>9</v>
      </c>
      <c r="B32" s="13">
        <f t="shared" ref="B32:F32" si="1">SUM(B4:B31)</f>
        <v>26</v>
      </c>
      <c r="C32" s="13">
        <f t="shared" si="1"/>
        <v>23</v>
      </c>
      <c r="D32" s="13">
        <f t="shared" si="1"/>
        <v>26</v>
      </c>
      <c r="E32" s="13">
        <f t="shared" si="1"/>
        <v>19</v>
      </c>
      <c r="F32" s="13">
        <f t="shared" si="1"/>
        <v>19</v>
      </c>
      <c r="G32" s="10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D8E6-81E3-406D-90EC-BE11044B1C7F}">
  <dimension ref="C5:I34"/>
  <sheetViews>
    <sheetView topLeftCell="A5" zoomScale="56" zoomScaleNormal="163" workbookViewId="0">
      <selection activeCell="R44" sqref="R44"/>
    </sheetView>
  </sheetViews>
  <sheetFormatPr baseColWidth="10" defaultRowHeight="14.25" x14ac:dyDescent="0.45"/>
  <sheetData>
    <row r="5" spans="3:9" ht="409.5" x14ac:dyDescent="0.45">
      <c r="C5" t="s">
        <v>39</v>
      </c>
      <c r="D5" s="16" t="s">
        <v>40</v>
      </c>
      <c r="E5" s="17" t="s">
        <v>41</v>
      </c>
      <c r="F5" s="17" t="s">
        <v>42</v>
      </c>
      <c r="G5" s="17" t="s">
        <v>44</v>
      </c>
      <c r="H5" s="17" t="s">
        <v>8</v>
      </c>
      <c r="I5" s="17" t="s">
        <v>43</v>
      </c>
    </row>
    <row r="6" spans="3:9" x14ac:dyDescent="0.45">
      <c r="C6" s="14" t="s">
        <v>28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3:9" x14ac:dyDescent="0.45">
      <c r="C7" s="15" t="s">
        <v>29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3:9" x14ac:dyDescent="0.45">
      <c r="C8" s="14" t="s">
        <v>30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3:9" x14ac:dyDescent="0.45">
      <c r="C9" s="15" t="s">
        <v>31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3:9" x14ac:dyDescent="0.45">
      <c r="C10" s="14" t="s">
        <v>32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3:9" x14ac:dyDescent="0.45">
      <c r="C11" s="15" t="s">
        <v>34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3:9" x14ac:dyDescent="0.45">
      <c r="C12" s="14" t="s">
        <v>33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3:9" x14ac:dyDescent="0.45">
      <c r="C13" s="15" t="s">
        <v>35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3:9" x14ac:dyDescent="0.45">
      <c r="C14" s="14" t="s">
        <v>45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3:9" x14ac:dyDescent="0.45">
      <c r="C15" s="15" t="s">
        <v>27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3:9" x14ac:dyDescent="0.45">
      <c r="C16" s="14" t="s">
        <v>18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3:9" x14ac:dyDescent="0.45">
      <c r="C17" s="15" t="s">
        <v>19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3:9" x14ac:dyDescent="0.45">
      <c r="C18" s="14" t="s">
        <v>20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3:9" x14ac:dyDescent="0.45">
      <c r="C19" s="15" t="s">
        <v>21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</row>
    <row r="20" spans="3:9" x14ac:dyDescent="0.45">
      <c r="C20" s="14" t="s">
        <v>22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3:9" x14ac:dyDescent="0.45">
      <c r="C21" s="15" t="s">
        <v>23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3:9" x14ac:dyDescent="0.45">
      <c r="C22" s="14" t="s">
        <v>24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3:9" x14ac:dyDescent="0.45">
      <c r="C23" s="15" t="s">
        <v>25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</row>
    <row r="24" spans="3:9" x14ac:dyDescent="0.45">
      <c r="C24" s="14" t="s">
        <v>26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</row>
    <row r="25" spans="3:9" x14ac:dyDescent="0.45">
      <c r="C25" s="15" t="s">
        <v>17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3:9" x14ac:dyDescent="0.45">
      <c r="C26" s="14" t="s">
        <v>16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3:9" x14ac:dyDescent="0.45">
      <c r="C27" s="15" t="s">
        <v>15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3:9" x14ac:dyDescent="0.45">
      <c r="C28" s="14" t="s">
        <v>46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</row>
    <row r="29" spans="3:9" x14ac:dyDescent="0.45">
      <c r="C29" s="15" t="s">
        <v>14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3:9" x14ac:dyDescent="0.45">
      <c r="C30" s="14" t="s">
        <v>13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3:9" x14ac:dyDescent="0.45">
      <c r="C31" s="15" t="s">
        <v>12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3:9" x14ac:dyDescent="0.45">
      <c r="C32" s="14" t="s">
        <v>11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3:9" x14ac:dyDescent="0.45">
      <c r="C33" s="18" t="s">
        <v>10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</row>
    <row r="34" spans="3:9" x14ac:dyDescent="0.45">
      <c r="C34" s="19" t="s">
        <v>9</v>
      </c>
      <c r="D34" s="8">
        <f t="shared" ref="D34:I34" si="0">SUM(D6:D33)</f>
        <v>26</v>
      </c>
      <c r="E34" s="8">
        <f t="shared" si="0"/>
        <v>27</v>
      </c>
      <c r="F34" s="8">
        <f t="shared" si="0"/>
        <v>24</v>
      </c>
      <c r="G34" s="8">
        <f t="shared" si="0"/>
        <v>25</v>
      </c>
      <c r="H34" s="8">
        <f t="shared" si="0"/>
        <v>23</v>
      </c>
      <c r="I34" s="8">
        <f t="shared" si="0"/>
        <v>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40A3E7DEDD6F46BDE9978B81F9B494" ma:contentTypeVersion="16" ma:contentTypeDescription="Create a new document." ma:contentTypeScope="" ma:versionID="6b071f6c53a76118f5426e6338d9e307">
  <xsd:schema xmlns:xsd="http://www.w3.org/2001/XMLSchema" xmlns:xs="http://www.w3.org/2001/XMLSchema" xmlns:p="http://schemas.microsoft.com/office/2006/metadata/properties" xmlns:ns3="1a879656-b28e-4f63-866e-63bc23b00d46" xmlns:ns4="0a5e7103-59c7-4b4b-955d-da1fcd01a9ec" targetNamespace="http://schemas.microsoft.com/office/2006/metadata/properties" ma:root="true" ma:fieldsID="5c37c3cae15a930d59d96982aafe1b16" ns3:_="" ns4:_="">
    <xsd:import namespace="1a879656-b28e-4f63-866e-63bc23b00d46"/>
    <xsd:import namespace="0a5e7103-59c7-4b4b-955d-da1fcd01a9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OCR" minOccurs="0"/>
                <xsd:element ref="ns4:MediaServiceSearchPropertie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79656-b28e-4f63-866e-63bc23b00d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e7103-59c7-4b4b-955d-da1fcd01a9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5e7103-59c7-4b4b-955d-da1fcd01a9ec" xsi:nil="true"/>
  </documentManagement>
</p:properties>
</file>

<file path=customXml/itemProps1.xml><?xml version="1.0" encoding="utf-8"?>
<ds:datastoreItem xmlns:ds="http://schemas.openxmlformats.org/officeDocument/2006/customXml" ds:itemID="{41440A08-B4A8-4A29-81C0-AD7AC04CD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879656-b28e-4f63-866e-63bc23b00d46"/>
    <ds:schemaRef ds:uri="0a5e7103-59c7-4b4b-955d-da1fcd01a9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25F543-BF4C-4066-AAB8-F8C734569F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9841D6-9C6D-4C80-9D5F-7847FD9B9190}">
  <ds:schemaRefs>
    <ds:schemaRef ds:uri="http://schemas.microsoft.com/office/2006/documentManagement/types"/>
    <ds:schemaRef ds:uri="1a879656-b28e-4f63-866e-63bc23b00d46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0a5e7103-59c7-4b4b-955d-da1fcd01a9ec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LISTA DE COTEJO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JANETH CORONADO RODRIGUEZ</dc:creator>
  <cp:lastModifiedBy>EMILY JANETH CORONADO RODRIGUEZ</cp:lastModifiedBy>
  <dcterms:created xsi:type="dcterms:W3CDTF">2026-04-08T23:31:40Z</dcterms:created>
  <dcterms:modified xsi:type="dcterms:W3CDTF">2026-04-26T22:04:40Z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0x0101003940A3E7DEDD6F46BDE9978B81F9B494</vt:lpwstr>
  </property>
</Properties>
</file>